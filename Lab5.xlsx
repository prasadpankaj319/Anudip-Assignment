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nshg\OneDrive\ドキュメント\Anudip\Lab Mannual\"/>
    </mc:Choice>
  </mc:AlternateContent>
  <xr:revisionPtr revIDLastSave="0" documentId="8_{FA095B8D-5AA7-42CA-BC36-F60F777471C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2" i="4"/>
  <c r="C3" i="4"/>
  <c r="C4" i="4"/>
  <c r="C5" i="4"/>
  <c r="C6" i="4"/>
  <c r="C7" i="4"/>
  <c r="C2" i="4"/>
  <c r="A3" i="4"/>
  <c r="A4" i="4"/>
  <c r="A5" i="4"/>
  <c r="A6" i="4"/>
  <c r="A7" i="4"/>
  <c r="A2" i="4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7" i="2"/>
  <c r="E6" i="2"/>
  <c r="E3" i="2"/>
  <c r="E4" i="2"/>
  <c r="E5" i="2"/>
  <c r="E2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<sst xmlns="http://schemas.openxmlformats.org/spreadsheetml/2006/main" count="32" uniqueCount="29">
  <si>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</si>
  <si>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</si>
  <si>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</si>
  <si>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</si>
  <si>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</si>
  <si>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</si>
  <si>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</si>
  <si>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</si>
  <si>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</si>
  <si>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</si>
  <si>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</si>
  <si>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</si>
  <si>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</si>
  <si>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</si>
  <si>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</si>
  <si>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</si>
  <si>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</si>
  <si>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</si>
  <si>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</si>
  <si>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</si>
  <si>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</si>
  <si>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</si>
  <si>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</si>
  <si>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</si>
  <si>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Result</t>
  </si>
  <si>
    <t>Maximun Order Value</t>
  </si>
  <si>
    <t>Product not order</t>
  </si>
  <si>
    <t>All Product have been order</t>
  </si>
  <si>
    <t>Total Qunatity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</si>
</sst>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3" sqref="C3"/>
    </sheetView>
  </sheetViews>
  <sheetFormatPr defaultRowHeight="14.45"/>
  <cols>
    <col min="1" max="2" width="14" customWidth="1"/>
    <col min="3" max="3" width="10" customWidth="1"/>
    <col min="4" max="4" width="16.4257812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101</v>
      </c>
      <c r="B2" s="4" t="s">
        <v>3</v>
      </c>
      <c r="C2" s="4">
        <v>120</v>
      </c>
    </row>
    <row r="3" spans="1:3">
      <c r="A3" s="4">
        <v>102</v>
      </c>
      <c r="B3" s="4" t="s">
        <v>4</v>
      </c>
      <c r="C3" s="4">
        <v>150</v>
      </c>
    </row>
    <row r="4" spans="1:3">
      <c r="A4" s="4">
        <v>103</v>
      </c>
      <c r="B4" s="4" t="s">
        <v>5</v>
      </c>
      <c r="C4" s="4">
        <v>200</v>
      </c>
    </row>
    <row r="5" spans="1:3">
      <c r="A5" s="4">
        <v>104</v>
      </c>
      <c r="B5" s="4" t="s">
        <v>6</v>
      </c>
      <c r="C5" s="4">
        <v>90</v>
      </c>
    </row>
    <row r="6" spans="1:3">
      <c r="A6" s="4">
        <v>105</v>
      </c>
      <c r="B6" s="4" t="s">
        <v>7</v>
      </c>
      <c r="C6" s="4">
        <v>220</v>
      </c>
    </row>
    <row r="7" spans="1:3">
      <c r="A7" s="4">
        <v>106</v>
      </c>
      <c r="B7" s="4" t="s">
        <v>8</v>
      </c>
      <c r="C7" s="4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="87" workbookViewId="0">
      <selection activeCell="F11" sqref="F11"/>
    </sheetView>
  </sheetViews>
  <sheetFormatPr defaultRowHeight="14.45"/>
  <cols>
    <col min="1" max="1" width="12" customWidth="1"/>
    <col min="2" max="2" width="14" customWidth="1"/>
    <col min="3" max="3" width="13" customWidth="1"/>
    <col min="4" max="4" width="15.42578125" customWidth="1"/>
    <col min="5" max="5" width="14.42578125" customWidth="1"/>
    <col min="6" max="6" width="15" customWidth="1"/>
    <col min="7" max="7" width="20" customWidth="1"/>
    <col min="8" max="8" width="15.5703125" customWidth="1"/>
  </cols>
  <sheetData>
    <row r="1" spans="1:8" ht="15">
      <c r="A1" s="3" t="s">
        <v>9</v>
      </c>
      <c r="B1" s="3" t="s">
        <v>0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ht="15">
      <c r="A2" s="4">
        <v>1</v>
      </c>
      <c r="B2" s="4">
        <v>101</v>
      </c>
      <c r="C2" s="4">
        <v>2</v>
      </c>
      <c r="D2" s="4" t="str">
        <f>VLOOKUP(B2,Products!A2:C7,2,FALSE)</f>
        <v>Product A</v>
      </c>
      <c r="E2" s="4">
        <f>VLOOKUP(B2,Products!A2:C7,3,0)</f>
        <v>120</v>
      </c>
      <c r="F2" s="4">
        <f>C2*E2</f>
        <v>240</v>
      </c>
      <c r="G2" s="4">
        <f>E2-(E2*10%)</f>
        <v>108</v>
      </c>
      <c r="H2" s="4" t="str">
        <f>IF(ISNA(VLOOKUP(B2,Products!$A$2:$C$7,1,FALSE)),"Not Found","Exists")</f>
        <v>Exists</v>
      </c>
    </row>
    <row r="3" spans="1:8" ht="15">
      <c r="A3" s="4">
        <v>2</v>
      </c>
      <c r="B3" s="4">
        <v>103</v>
      </c>
      <c r="C3" s="4">
        <v>1</v>
      </c>
      <c r="D3" s="4" t="str">
        <f>VLOOKUP(B3,Products!A3:C8,2,FALSE)</f>
        <v>Product C</v>
      </c>
      <c r="E3" s="4">
        <f>VLOOKUP(B3,Products!A3:C8,3,0)</f>
        <v>200</v>
      </c>
      <c r="F3" s="4">
        <f t="shared" ref="F3:F7" si="0">C3*E3</f>
        <v>200</v>
      </c>
      <c r="G3" s="4">
        <f t="shared" ref="G3:G7" si="1">E3-(E3*10%)</f>
        <v>180</v>
      </c>
      <c r="H3" s="4" t="str">
        <f>IF(ISNA(VLOOKUP(B3,Products!$A$2:$C$7,1,FALSE)),"Not Found","Exists")</f>
        <v>Exists</v>
      </c>
    </row>
    <row r="4" spans="1:8" ht="15">
      <c r="A4" s="4">
        <v>3</v>
      </c>
      <c r="B4" s="4">
        <v>105</v>
      </c>
      <c r="C4" s="4">
        <v>4</v>
      </c>
      <c r="D4" s="4" t="str">
        <f>VLOOKUP(B4,Products!A4:C9,2,FALSE)</f>
        <v>Product E</v>
      </c>
      <c r="E4" s="4">
        <f>VLOOKUP(B4,Products!A4:C9,3,0)</f>
        <v>220</v>
      </c>
      <c r="F4" s="4">
        <f t="shared" si="0"/>
        <v>880</v>
      </c>
      <c r="G4" s="4">
        <f t="shared" si="1"/>
        <v>198</v>
      </c>
      <c r="H4" s="4" t="str">
        <f>IF(ISNA(VLOOKUP(B4,Products!$A$2:$C$7,1,FALSE)),"Not Found","Exists")</f>
        <v>Exists</v>
      </c>
    </row>
    <row r="5" spans="1:8" ht="15">
      <c r="A5" s="4">
        <v>4</v>
      </c>
      <c r="B5" s="4">
        <v>106</v>
      </c>
      <c r="C5" s="4">
        <v>3</v>
      </c>
      <c r="D5" s="4" t="str">
        <f>VLOOKUP(B5,Products!A5:C10,2,FALSE)</f>
        <v>Product F</v>
      </c>
      <c r="E5" s="4">
        <f>VLOOKUP(B5,Products!A5:C10,3,0)</f>
        <v>130</v>
      </c>
      <c r="F5" s="4">
        <f t="shared" si="0"/>
        <v>390</v>
      </c>
      <c r="G5" s="4">
        <f t="shared" si="1"/>
        <v>117</v>
      </c>
      <c r="H5" s="4" t="str">
        <f>IF(ISNA(VLOOKUP(B5,Products!$A$2:$C$7,1,FALSE)),"Not Found","Exists")</f>
        <v>Exists</v>
      </c>
    </row>
    <row r="6" spans="1:8" ht="15">
      <c r="A6" s="4">
        <v>5</v>
      </c>
      <c r="B6" s="4">
        <v>102</v>
      </c>
      <c r="C6" s="4">
        <v>5</v>
      </c>
      <c r="D6" s="4" t="str">
        <f>VLOOKUP(B6,Products!A3:C3,2,0)</f>
        <v>Product B</v>
      </c>
      <c r="E6" s="4">
        <f>VLOOKUP(B6,Products!A3:C3,3,0)</f>
        <v>150</v>
      </c>
      <c r="F6" s="4">
        <f t="shared" si="0"/>
        <v>750</v>
      </c>
      <c r="G6" s="4">
        <f t="shared" si="1"/>
        <v>135</v>
      </c>
      <c r="H6" s="4" t="str">
        <f>IF(ISNA(VLOOKUP(B6,Products!$A$2:$C$7,1,FALSE)),"Not Found","Exists")</f>
        <v>Exists</v>
      </c>
    </row>
    <row r="7" spans="1:8" ht="15">
      <c r="A7" s="4">
        <v>6</v>
      </c>
      <c r="B7" s="4">
        <v>104</v>
      </c>
      <c r="C7" s="4">
        <v>6</v>
      </c>
      <c r="D7" s="4" t="str">
        <f>VLOOKUP(B7,Products!A5:C5,2,0)</f>
        <v>Product D</v>
      </c>
      <c r="E7" s="4">
        <f>VLOOKUP(B7,Products!A5:C5,3,0)</f>
        <v>90</v>
      </c>
      <c r="F7" s="4">
        <f t="shared" si="0"/>
        <v>540</v>
      </c>
      <c r="G7" s="4">
        <f t="shared" si="1"/>
        <v>81</v>
      </c>
      <c r="H7" s="4" t="str">
        <f>IF(ISNA(VLOOKUP(B7,Products!$A$2:$C$7,1,FALSE)),"Not Found","Exists")</f>
        <v>Exists</v>
      </c>
    </row>
    <row r="10" spans="1:8">
      <c r="A10" t="s">
        <v>16</v>
      </c>
    </row>
    <row r="11" spans="1:8">
      <c r="A11" t="s">
        <v>17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</row>
    <row r="16" spans="1:8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3"/>
    </sheetView>
  </sheetViews>
  <sheetFormatPr defaultRowHeight="14.45"/>
  <cols>
    <col min="1" max="1" width="22.28515625" customWidth="1"/>
    <col min="2" max="2" width="26.42578125" customWidth="1"/>
  </cols>
  <sheetData>
    <row r="1" spans="1:2">
      <c r="A1" s="3" t="s">
        <v>23</v>
      </c>
      <c r="B1" s="3" t="s">
        <v>24</v>
      </c>
    </row>
    <row r="2" spans="1:2">
      <c r="A2" s="4" t="s">
        <v>25</v>
      </c>
      <c r="B2" s="4">
        <f>MAX(Orders!F2:F7)</f>
        <v>880</v>
      </c>
    </row>
    <row r="3" spans="1:2">
      <c r="A3" s="4" t="s">
        <v>26</v>
      </c>
      <c r="B3" s="4" t="s">
        <v>27</v>
      </c>
    </row>
    <row r="4" spans="1:2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E4" sqref="E4"/>
    </sheetView>
  </sheetViews>
  <sheetFormatPr defaultRowHeight="14.45"/>
  <cols>
    <col min="1" max="1" width="9.85546875" style="2" customWidth="1"/>
    <col min="2" max="2" width="17" customWidth="1"/>
    <col min="3" max="3" width="17.7109375" customWidth="1"/>
  </cols>
  <sheetData>
    <row r="1" spans="1:3">
      <c r="A1" s="3" t="s">
        <v>0</v>
      </c>
      <c r="B1" s="3" t="s">
        <v>11</v>
      </c>
      <c r="C1" s="3" t="s">
        <v>28</v>
      </c>
    </row>
    <row r="2" spans="1:3">
      <c r="A2" s="4">
        <f>Products!A2</f>
        <v>101</v>
      </c>
      <c r="B2" s="4" t="str">
        <f>Products!B2</f>
        <v>Product A</v>
      </c>
      <c r="C2" s="4">
        <f>SUMIF(Orders!$B$2:$B$7,A2,Orders!$C$2:$C$7)</f>
        <v>2</v>
      </c>
    </row>
    <row r="3" spans="1:3">
      <c r="A3" s="4">
        <f>Products!A3</f>
        <v>102</v>
      </c>
      <c r="B3" s="4" t="str">
        <f>Products!B3</f>
        <v>Product B</v>
      </c>
      <c r="C3" s="4">
        <f>SUMIF(Orders!$B$2:$B$7,A3,Orders!$C$2:$C$7)</f>
        <v>5</v>
      </c>
    </row>
    <row r="4" spans="1:3">
      <c r="A4" s="4">
        <f>Products!A4</f>
        <v>103</v>
      </c>
      <c r="B4" s="4" t="str">
        <f>Products!B4</f>
        <v>Product C</v>
      </c>
      <c r="C4" s="4">
        <f>SUMIF(Orders!$B$2:$B$7,A4,Orders!$C$2:$C$7)</f>
        <v>1</v>
      </c>
    </row>
    <row r="5" spans="1:3">
      <c r="A5" s="4">
        <f>Products!A5</f>
        <v>104</v>
      </c>
      <c r="B5" s="4" t="str">
        <f>Products!B5</f>
        <v>Product D</v>
      </c>
      <c r="C5" s="4">
        <f>SUMIF(Orders!$B$2:$B$7,A5,Orders!$C$2:$C$7)</f>
        <v>6</v>
      </c>
    </row>
    <row r="6" spans="1:3">
      <c r="A6" s="4">
        <f>Products!A6</f>
        <v>105</v>
      </c>
      <c r="B6" s="4" t="str">
        <f>Products!B6</f>
        <v>Product E</v>
      </c>
      <c r="C6" s="4">
        <f>SUMIF(Orders!$B$2:$B$7,A6,Orders!$C$2:$C$7)</f>
        <v>4</v>
      </c>
    </row>
    <row r="7" spans="1:3">
      <c r="A7" s="4">
        <f>Products!A7</f>
        <v>106</v>
      </c>
      <c r="B7" s="4" t="str">
        <f>Products!B7</f>
        <v>Product F</v>
      </c>
      <c r="C7" s="4">
        <f>SUMIF(Orders!$B$2:$B$7,A7,Orders!$C$2:$C$7)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2026-05-18T03:48:30Z</dcterms:created>
  <dcterms:modified xsi:type="dcterms:W3CDTF">2026-05-19T07:54:59Z</dcterms:modified>
  <cp:category/>
  <cp:contentStatus/>
</cp:coreProperties>
</file>