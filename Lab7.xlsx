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Anudip\OneDrive - Anudip Foundation for Social Welfare\Desktop\"/>
    </mc:Choice>
  </mc:AlternateContent>
  <xr:revisionPtr revIDLastSave="0" documentId="8_{5002ADFC-1B2B-4AB1-B866-C41DCCE76051}" xr6:coauthVersionLast="47" xr6:coauthVersionMax="47" xr10:uidLastSave="{00000000-0000-0000-0000-000000000000}"/>
  <bookViews>
    <workbookView xWindow="0" yWindow="0" windowWidth="19200" windowHeight="8180" xr2:uid="{00000000-000D-0000-FFFF-FFFF00000000}"/>
  </bookViews>
  <sheets>
    <sheet name="Sales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2" i="1"/>
  <c r="K2" i="1"/>
  <c r="K3" i="1"/>
  <c r="K4" i="1"/>
  <c r="K5" i="1"/>
  <c r="K6" i="1"/>
  <c r="K7" i="1"/>
  <c r="M3" i="1"/>
  <c r="M4" i="1"/>
  <c r="M5" i="1"/>
  <c r="M6" i="1"/>
  <c r="M7" i="1"/>
  <c r="M2" i="1"/>
  <c r="J3" i="1"/>
  <c r="J4" i="1"/>
  <c r="J5" i="1"/>
  <c r="J6" i="1"/>
  <c r="J7" i="1"/>
  <c r="J2" i="1"/>
  <c r="I3" i="1"/>
  <c r="I4" i="1"/>
  <c r="I5" i="1"/>
  <c r="I6" i="1"/>
  <c r="I7" i="1"/>
  <c r="I2" i="1"/>
  <c r="H2" i="1"/>
  <c r="H3" i="1"/>
  <c r="H4" i="1"/>
  <c r="H5" i="1"/>
  <c r="H6" i="1"/>
  <c r="H7" i="1"/>
  <c r="G3" i="1"/>
  <c r="G4" i="1"/>
  <c r="G5" i="1"/>
  <c r="G6" i="1"/>
  <c r="G7" i="1"/>
  <c r="G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<sst xmlns="http://schemas.openxmlformats.org/spreadsheetml/2006/main" count="33" uniqueCount="31">
  <si>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</si>
  <si>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</si>
  <si>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</si>
  <si>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</si>
  <si>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</si>
  <si>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</si>
  <si>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</si>
  <si>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</si>
  <si>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</si>
  <si>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</si>
  <si>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</si>
  <si>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</si>
  <si>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</si>
  <si>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</si>
  <si>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</si>
  <si>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</si>
  <si>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</si>
  <si>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</si>
  <si>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</si>
  <si>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</si>
  <si>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</si>
  <si>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</si>
  <si>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</si>
  <si>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 xml:space="preserve">1. Use the IF function to evaluate whether each product met its sales target.    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</si>
  <si>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</si>
  <si>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</si>
  <si>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</si>
  <si>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5. Use the IF function to categorize sales performance as "Excellent" (&gt;=200), "Good" (&gt;=150), or "Needs Improvement" (&lt;150). </t>
  </si>
  <si>
    <t xml:space="preserve">6.. Use the IF function to assign a price tier based on the sales value. "High" for sales &gt; 200, "Medium" for sales between 100 and 200, and "Low" for sales &lt; 100.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</si>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</sst>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>
    <font>
      <sz val="11"/>
      <color theme="1"/>
      <name val="Calibri"/>
      <family val="2"/>
      <scheme val="minor"/>
    </font>
    <font>
      <b/>
      <sz val="11"/>
      <color rgb="FF3F3F3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1" fillId="2" borderId="1" xfId="1"/>
    <xf numFmtId="0" fontId="1" fillId="2" borderId="1" xfId="1" applyNumberFormat="1"/>
    <xf numFmtId="0" fontId="1" fillId="2" borderId="1" xfId="1" applyAlignment="1"/>
    <xf numFmtId="164" fontId="1" fillId="2" borderId="1" xfId="1" applyNumberFormat="1" applyAlignment="1"/>
  </cellXfs>
  <cellStyles count="2"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L2" sqref="L2:L7"/>
    </sheetView>
  </sheetViews>
  <sheetFormatPr defaultRowHeight="14.4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20.28515625" customWidth="1"/>
    <col min="11" max="11" width="9.85546875" customWidth="1"/>
    <col min="12" max="12" width="15.7109375" customWidth="1"/>
    <col min="13" max="13" width="20.7109375" customWidth="1"/>
  </cols>
  <sheetData>
    <row r="1" spans="1:13" ht="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5">
      <c r="A2" s="3">
        <v>101</v>
      </c>
      <c r="B2" s="3" t="s">
        <v>13</v>
      </c>
      <c r="C2" s="3">
        <v>120</v>
      </c>
      <c r="D2" s="3">
        <v>150</v>
      </c>
      <c r="E2" s="3" t="s">
        <v>14</v>
      </c>
      <c r="F2" s="3" t="str">
        <f>IF(C2&gt;=D2,"Met","Not Met")</f>
        <v>Not Met</v>
      </c>
      <c r="G2" s="3" t="str">
        <f>IF(AND(E2="North",C2&gt;=200),"Eligible","Not Eligible")</f>
        <v>Not Eligible</v>
      </c>
      <c r="H2" s="4">
        <f>IF(C2&gt;=200,10%,IF(C2&gt;=150,7%,5%))</f>
        <v>0.05</v>
      </c>
      <c r="I2" s="3">
        <f>IF(C2&gt;=D2,C2*10%,C2*5%)</f>
        <v>6</v>
      </c>
      <c r="J2" s="3" t="str">
        <f>IF(C2&gt;=200,"Excellent",IF(C2&gt;=150,"Good","Needs Improvement"))</f>
        <v>Needs Improvement</v>
      </c>
      <c r="K2" s="5" t="str">
        <f>IF(C2&gt;=200,"High",IF(AND(C2&gt;=100,C2&lt;=200),"Medium","Low"))</f>
        <v>Medium</v>
      </c>
      <c r="L2" s="6">
        <f>IF(AND(C2&gt;=150,E2="North"),500,300)</f>
        <v>300</v>
      </c>
      <c r="M2" s="5" t="str">
        <f>IF(C2&gt;=PERCENTILE($C$2:$C$7,0.75),"High PerFormer","Not High PerFormer")</f>
        <v>Not High PerFormer</v>
      </c>
    </row>
    <row r="3" spans="1:13" ht="15">
      <c r="A3" s="3">
        <v>102</v>
      </c>
      <c r="B3" s="3" t="s">
        <v>15</v>
      </c>
      <c r="C3" s="3">
        <v>150</v>
      </c>
      <c r="D3" s="3">
        <v>140</v>
      </c>
      <c r="E3" s="3" t="s">
        <v>16</v>
      </c>
      <c r="F3" s="3" t="str">
        <f t="shared" ref="F3:F7" si="0">IF(C3&gt;=D3,"Met","Not Met")</f>
        <v>Met</v>
      </c>
      <c r="G3" s="3" t="str">
        <f t="shared" ref="G3:G7" si="1">IF(AND(E3="North",C3&gt;=200),"Eligible","Not Eligible")</f>
        <v>Not Eligible</v>
      </c>
      <c r="H3" s="4">
        <f t="shared" ref="H3:H7" si="2">IF(C3&gt;=200,10%,IF(C3&gt;=150,7%,5%))</f>
        <v>7.0000000000000007E-2</v>
      </c>
      <c r="I3" s="3">
        <f t="shared" ref="I3:I7" si="3">IF(C3&gt;=D3,C3*10%,C3*5%)</f>
        <v>15</v>
      </c>
      <c r="J3" s="3" t="str">
        <f t="shared" ref="J3:J7" si="4">IF(C3&gt;=200,"Excellent",IF(C3&gt;=150,"Good","Needs Improvement"))</f>
        <v>Good</v>
      </c>
      <c r="K3" s="5" t="str">
        <f t="shared" ref="K3:K7" si="5">IF(C3&gt;=200,"High",IF(AND(C3&gt;=100,C3&lt;=200),"Medium","Low"))</f>
        <v>Medium</v>
      </c>
      <c r="L3" s="6">
        <f t="shared" ref="L3:L7" si="6">IF(AND(C3&gt;=150,E3="North"),500,300)</f>
        <v>300</v>
      </c>
      <c r="M3" s="5" t="str">
        <f t="shared" ref="M3:M7" si="7">IF(C3&gt;=PERCENTILE($C$2:$C$7,0.75),"High PerFormer","Not High PerFormer")</f>
        <v>Not High PerFormer</v>
      </c>
    </row>
    <row r="4" spans="1:13" ht="15">
      <c r="A4" s="3">
        <v>103</v>
      </c>
      <c r="B4" s="3" t="s">
        <v>17</v>
      </c>
      <c r="C4" s="3">
        <v>200</v>
      </c>
      <c r="D4" s="3">
        <v>200</v>
      </c>
      <c r="E4" s="3" t="s">
        <v>18</v>
      </c>
      <c r="F4" s="3" t="str">
        <f t="shared" si="0"/>
        <v>Met</v>
      </c>
      <c r="G4" s="3" t="str">
        <f t="shared" si="1"/>
        <v>Not Eligible</v>
      </c>
      <c r="H4" s="4">
        <f t="shared" si="2"/>
        <v>0.1</v>
      </c>
      <c r="I4" s="3">
        <f t="shared" si="3"/>
        <v>20</v>
      </c>
      <c r="J4" s="3" t="str">
        <f t="shared" si="4"/>
        <v>Excellent</v>
      </c>
      <c r="K4" s="5" t="str">
        <f t="shared" si="5"/>
        <v>High</v>
      </c>
      <c r="L4" s="6">
        <f t="shared" si="6"/>
        <v>300</v>
      </c>
      <c r="M4" s="5" t="str">
        <f t="shared" si="7"/>
        <v>High PerFormer</v>
      </c>
    </row>
    <row r="5" spans="1:13" ht="15">
      <c r="A5" s="3">
        <v>104</v>
      </c>
      <c r="B5" s="3" t="s">
        <v>19</v>
      </c>
      <c r="C5" s="3">
        <v>90</v>
      </c>
      <c r="D5" s="3">
        <v>100</v>
      </c>
      <c r="E5" s="3" t="s">
        <v>20</v>
      </c>
      <c r="F5" s="3" t="str">
        <f t="shared" si="0"/>
        <v>Not Met</v>
      </c>
      <c r="G5" s="3" t="str">
        <f t="shared" si="1"/>
        <v>Not Eligible</v>
      </c>
      <c r="H5" s="4">
        <f t="shared" si="2"/>
        <v>0.05</v>
      </c>
      <c r="I5" s="3">
        <f t="shared" si="3"/>
        <v>4.5</v>
      </c>
      <c r="J5" s="3" t="str">
        <f t="shared" si="4"/>
        <v>Needs Improvement</v>
      </c>
      <c r="K5" s="5" t="str">
        <f t="shared" si="5"/>
        <v>Low</v>
      </c>
      <c r="L5" s="6">
        <f t="shared" si="6"/>
        <v>300</v>
      </c>
      <c r="M5" s="5" t="str">
        <f t="shared" si="7"/>
        <v>Not High PerFormer</v>
      </c>
    </row>
    <row r="6" spans="1:13" ht="15">
      <c r="A6" s="3">
        <v>105</v>
      </c>
      <c r="B6" s="3" t="s">
        <v>21</v>
      </c>
      <c r="C6" s="3">
        <v>220</v>
      </c>
      <c r="D6" s="3">
        <v>210</v>
      </c>
      <c r="E6" s="3" t="s">
        <v>14</v>
      </c>
      <c r="F6" s="3" t="str">
        <f t="shared" si="0"/>
        <v>Met</v>
      </c>
      <c r="G6" s="3" t="str">
        <f t="shared" si="1"/>
        <v>Eligible</v>
      </c>
      <c r="H6" s="4">
        <f t="shared" si="2"/>
        <v>0.1</v>
      </c>
      <c r="I6" s="3">
        <f t="shared" si="3"/>
        <v>22</v>
      </c>
      <c r="J6" s="3" t="str">
        <f t="shared" si="4"/>
        <v>Excellent</v>
      </c>
      <c r="K6" s="5" t="str">
        <f t="shared" si="5"/>
        <v>High</v>
      </c>
      <c r="L6" s="6">
        <f t="shared" si="6"/>
        <v>500</v>
      </c>
      <c r="M6" s="5" t="str">
        <f t="shared" si="7"/>
        <v>High PerFormer</v>
      </c>
    </row>
    <row r="7" spans="1:13" ht="15">
      <c r="A7" s="3">
        <v>106</v>
      </c>
      <c r="B7" s="3" t="s">
        <v>22</v>
      </c>
      <c r="C7" s="3">
        <v>130</v>
      </c>
      <c r="D7" s="3">
        <v>160</v>
      </c>
      <c r="E7" s="3" t="s">
        <v>16</v>
      </c>
      <c r="F7" s="3" t="str">
        <f t="shared" si="0"/>
        <v>Not Met</v>
      </c>
      <c r="G7" s="3" t="str">
        <f t="shared" si="1"/>
        <v>Not Eligible</v>
      </c>
      <c r="H7" s="4">
        <f t="shared" si="2"/>
        <v>0.05</v>
      </c>
      <c r="I7" s="3">
        <f t="shared" si="3"/>
        <v>6.5</v>
      </c>
      <c r="J7" s="3" t="str">
        <f t="shared" si="4"/>
        <v>Needs Improvement</v>
      </c>
      <c r="K7" s="5" t="str">
        <f t="shared" si="5"/>
        <v>Medium</v>
      </c>
      <c r="L7" s="6">
        <f t="shared" si="6"/>
        <v>300</v>
      </c>
      <c r="M7" s="5" t="str">
        <f t="shared" si="7"/>
        <v>Not High PerFormer</v>
      </c>
    </row>
    <row r="10" spans="1:13">
      <c r="A10" t="s">
        <v>23</v>
      </c>
    </row>
    <row r="11" spans="1:13">
      <c r="A11" t="s">
        <v>24</v>
      </c>
    </row>
    <row r="12" spans="1:13">
      <c r="A12" t="s">
        <v>25</v>
      </c>
    </row>
    <row r="13" spans="1:13">
      <c r="A13" t="s">
        <v>26</v>
      </c>
    </row>
    <row r="14" spans="1:13" ht="17.100000000000001" customHeight="1">
      <c r="A14" s="2" t="s">
        <v>27</v>
      </c>
      <c r="B14" s="2"/>
      <c r="C14" s="2"/>
      <c r="D14" s="2"/>
      <c r="E14" s="2"/>
      <c r="F14" s="2"/>
      <c r="G14" s="2"/>
      <c r="H14" s="2"/>
      <c r="I14" s="2"/>
      <c r="J14" s="2"/>
    </row>
    <row r="15" spans="1:13" ht="16.5" customHeight="1">
      <c r="A15" s="1" t="s">
        <v>28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t="s">
        <v>29</v>
      </c>
    </row>
    <row r="17" spans="1:1">
      <c r="A17" t="s">
        <v>30</v>
      </c>
    </row>
  </sheetData>
  <mergeCells count="2">
    <mergeCell ref="A15:M15"/>
    <mergeCell ref="A14:J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2026-05-20T11:39:18Z</dcterms:created>
  <dcterms:modified xsi:type="dcterms:W3CDTF">2026-05-21T07:20:34Z</dcterms:modified>
  <cp:category/>
  <cp:contentStatus/>
</cp:coreProperties>
</file>